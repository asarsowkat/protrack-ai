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ivil" sheetId="1" state="visible" r:id="rId3"/>
    <sheet name="Electrical" sheetId="2" state="visible" r:id="rId4"/>
    <sheet name="S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<sst xmlns="http://schemas.openxmlformats.org/spreadsheetml/2006/main" count="52" uniqueCount="48">
  <si>
    <t xml:space="preserve">TENDER T-2026-118 — CIVIL WORKS</t>
  </si>
  <si>
    <t xml:space="preserve">Prepared by tender department (test data)</t>
  </si>
  <si>
    <t xml:space="preserve">S.No</t>
  </si>
  <si>
    <t xml:space="preserve">Particulars</t>
  </si>
  <si>
    <t xml:space="preserve">Quantity</t>
  </si>
  <si>
    <t xml:space="preserve">UOM</t>
  </si>
  <si>
    <t xml:space="preserve">Unit Rate</t>
  </si>
  <si>
    <t xml:space="preserve">Total Price</t>
  </si>
  <si>
    <t xml:space="preserve">1</t>
  </si>
  <si>
    <t xml:space="preserve">Site preparation and clearing</t>
  </si>
  <si>
    <t xml:space="preserve">LS</t>
  </si>
  <si>
    <t xml:space="preserve">2</t>
  </si>
  <si>
    <t xml:space="preserve">Soil investigation boreholes</t>
  </si>
  <si>
    <t xml:space="preserve">nos</t>
  </si>
  <si>
    <t xml:space="preserve">3</t>
  </si>
  <si>
    <t xml:space="preserve">Backfill with selected material</t>
  </si>
  <si>
    <t xml:space="preserve">m3</t>
  </si>
  <si>
    <t xml:space="preserve">4</t>
  </si>
  <si>
    <t xml:space="preserve">Concrete C40 for foundations</t>
  </si>
  <si>
    <t xml:space="preserve">Total civil</t>
  </si>
  <si>
    <t xml:space="preserve">Electrical</t>
  </si>
  <si>
    <t xml:space="preserve">Ref</t>
  </si>
  <si>
    <t xml:space="preserve">Scope</t>
  </si>
  <si>
    <t xml:space="preserve">No. of units</t>
  </si>
  <si>
    <t xml:space="preserve">Unit of measure</t>
  </si>
  <si>
    <t xml:space="preserve">Price/Unit</t>
  </si>
  <si>
    <t xml:space="preserve">Extended Price</t>
  </si>
  <si>
    <t xml:space="preserve">E1</t>
  </si>
  <si>
    <t xml:space="preserve">XLPE cable 630mm2 132kV</t>
  </si>
  <si>
    <t xml:space="preserve">m</t>
  </si>
  <si>
    <t xml:space="preserve">E2</t>
  </si>
  <si>
    <t xml:space="preserve">Cable termination kits 132kV</t>
  </si>
  <si>
    <t xml:space="preserve">set</t>
  </si>
  <si>
    <t xml:space="preserve">E3</t>
  </si>
  <si>
    <t xml:space="preserve">Cable pulling technicians</t>
  </si>
  <si>
    <t xml:space="preserve">month</t>
  </si>
  <si>
    <t xml:space="preserve">Code</t>
  </si>
  <si>
    <t xml:space="preserve">Cost description</t>
  </si>
  <si>
    <t xml:space="preserve">Qty</t>
  </si>
  <si>
    <t xml:space="preserve">Unit</t>
  </si>
  <si>
    <t xml:space="preserve">Rate</t>
  </si>
  <si>
    <t xml:space="preserve">Amount (SAR)</t>
  </si>
  <si>
    <t xml:space="preserve">SM-A</t>
  </si>
  <si>
    <t xml:space="preserve">Project manager salary</t>
  </si>
  <si>
    <t xml:space="preserve">SM-B</t>
  </si>
  <si>
    <t xml:space="preserve">Pick-up vehicles rental</t>
  </si>
  <si>
    <t xml:space="preserve">SM-C</t>
  </si>
  <si>
    <t xml:space="preserve">Site office stationery and consumables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</si>
</sst>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n">
        <v>1</v>
      </c>
      <c r="D5" s="0" t="s">
        <v>10</v>
      </c>
      <c r="E5" s="0" t="n">
        <v>85000</v>
      </c>
      <c r="F5" s="0" t="n">
        <f aca="false">C5*E5</f>
        <v>85000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n">
        <v>6</v>
      </c>
      <c r="D6" s="0" t="s">
        <v>13</v>
      </c>
      <c r="E6" s="0" t="n">
        <v>9500</v>
      </c>
      <c r="F6" s="0" t="n">
        <f aca="false">C6*E6</f>
        <v>57000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n">
        <v>600</v>
      </c>
      <c r="D7" s="0" t="s">
        <v>16</v>
      </c>
      <c r="E7" s="0" t="n">
        <v>22</v>
      </c>
      <c r="F7" s="0" t="n">
        <f aca="false">C7*E7</f>
        <v>13200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n">
        <v>320</v>
      </c>
      <c r="D8" s="0" t="s">
        <v>16</v>
      </c>
      <c r="E8" s="0" t="n">
        <v>410</v>
      </c>
      <c r="F8" s="0" t="n">
        <f aca="false">C8*E8</f>
        <v>131200</v>
      </c>
    </row>
    <row r="9" customFormat="false" ht="15" hidden="false" customHeight="false" outlineLevel="0" collapsed="false">
      <c r="B9" s="0" t="s">
        <v>19</v>
      </c>
      <c r="F9" s="0" t="n">
        <f aca="false">SUM(F5:F8)</f>
        <v>286400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0" t="s">
        <v>20</v>
      </c>
    </row>
    <row r="3" customFormat="false" ht="15" hidden="false" customHeight="false" outlineLevel="0" collapsed="false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n">
        <v>2400</v>
      </c>
      <c r="D4" s="0" t="s">
        <v>29</v>
      </c>
      <c r="E4" s="0" t="n">
        <v>520</v>
      </c>
      <c r="F4" s="0" t="n">
        <f aca="false">C4*E4</f>
        <v>1248000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n">
        <v>12</v>
      </c>
      <c r="D5" s="0" t="s">
        <v>32</v>
      </c>
      <c r="E5" s="0" t="n">
        <v>8800</v>
      </c>
      <c r="F5" s="0" t="n">
        <f aca="false">C5*E5</f>
        <v>105600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n">
        <v>3</v>
      </c>
      <c r="D6" s="0" t="s">
        <v>35</v>
      </c>
      <c r="E6" s="0" t="n">
        <v>52000</v>
      </c>
      <c r="F6" s="0" t="n">
        <f aca="false">C6*E6</f>
        <v>156000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n">
        <v>18</v>
      </c>
      <c r="D2" s="0" t="s">
        <v>35</v>
      </c>
      <c r="E2" s="0" t="n">
        <v>42000</v>
      </c>
      <c r="F2" s="0" t="n">
        <f aca="false">C2*E2</f>
        <v>756000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n">
        <v>36</v>
      </c>
      <c r="D3" s="0" t="s">
        <v>35</v>
      </c>
      <c r="E3" s="0" t="n">
        <v>3100</v>
      </c>
      <c r="F3" s="0" t="n">
        <f aca="false">C3*E3</f>
        <v>111600</v>
      </c>
    </row>
    <row r="4" customFormat="false" ht="15" hidden="false" customHeight="false" outlineLevel="0" collapsed="false">
      <c r="A4" s="0" t="s">
        <v>46</v>
      </c>
      <c r="B4" s="0" t="s">
        <v>47</v>
      </c>
      <c r="C4" s="0" t="n">
        <v>18</v>
      </c>
      <c r="D4" s="0" t="s">
        <v>35</v>
      </c>
      <c r="E4" s="0" t="n">
        <v>2500</v>
      </c>
      <c r="F4" s="0" t="n">
        <f aca="false">C4*E4</f>
        <v>45000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