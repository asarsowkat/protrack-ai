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<sst xmlns="http://schemas.openxmlformats.org/spreadsheetml/2006/main" count="21" uniqueCount="19">
  <si>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</si>
  <si>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</si>
  <si>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</si>
  <si>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</si>
  <si>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</si>
  <si>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</si>
  <si>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Supply of rebar Grade 60</t>
  </si>
  <si>
    <t xml:space="preserve">ton</t>
  </si>
  <si>
    <t xml:space="preserve">Rebar fixing crew</t>
  </si>
  <si>
    <t xml:space="preserve">month</t>
  </si>
  <si>
    <t xml:space="preserve">Excavation for cable trench</t>
  </si>
  <si>
    <t xml:space="preserve">cu.m</t>
  </si>
  <si>
    <t xml:space="preserve">Transformer supply 132/13.8kV 40MVA</t>
  </si>
  <si>
    <t xml:space="preserve">No.</t>
  </si>
  <si>
    <t xml:space="preserve">Site villa rent</t>
  </si>
  <si>
    <t xml:space="preserve">Recruitment fees</t>
  </si>
  <si>
    <t xml:space="preserve">LS</t>
  </si>
  <si>
    <t xml:space="preserve">Discount on transformer supply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</si>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</sst>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130</v>
      </c>
      <c r="D2" s="0" t="s">
        <v>7</v>
      </c>
      <c r="E2" s="0" t="n">
        <v>3200</v>
      </c>
      <c r="F2" s="0" t="n">
        <f aca="false">C2*E2</f>
        <v>416000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4</v>
      </c>
      <c r="D3" s="0" t="s">
        <v>9</v>
      </c>
      <c r="E3" s="0" t="n">
        <v>45000</v>
      </c>
      <c r="F3" s="0" t="n">
        <f aca="false">C3*E3</f>
        <v>180000</v>
      </c>
    </row>
    <row r="4" customFormat="false" ht="15" hidden="false" customHeight="false" outlineLevel="0" collapsed="false">
      <c r="A4" s="0" t="n">
        <v>3</v>
      </c>
      <c r="B4" s="0" t="s">
        <v>10</v>
      </c>
      <c r="C4" s="0" t="n">
        <v>850</v>
      </c>
      <c r="D4" s="0" t="s">
        <v>11</v>
      </c>
      <c r="E4" s="0" t="n">
        <v>38</v>
      </c>
      <c r="F4" s="0" t="n">
        <f aca="false">C4*E4</f>
        <v>32300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n">
        <v>2</v>
      </c>
      <c r="D5" s="0" t="s">
        <v>13</v>
      </c>
      <c r="E5" s="0" t="n">
        <v>2850000</v>
      </c>
      <c r="F5" s="0" t="n">
        <f aca="false">C5*E5</f>
        <v>5700000</v>
      </c>
    </row>
    <row r="6" customFormat="false" ht="15" hidden="false" customHeight="false" outlineLevel="0" collapsed="false">
      <c r="A6" s="0" t="n">
        <v>5</v>
      </c>
      <c r="B6" s="0" t="s">
        <v>14</v>
      </c>
      <c r="C6" s="0" t="n">
        <v>12</v>
      </c>
      <c r="D6" s="0" t="s">
        <v>9</v>
      </c>
      <c r="E6" s="0" t="n">
        <v>18000</v>
      </c>
      <c r="F6" s="0" t="n">
        <f aca="false">C6*E6</f>
        <v>216000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n">
        <v>1</v>
      </c>
      <c r="D7" s="0" t="s">
        <v>16</v>
      </c>
      <c r="E7" s="0" t="n">
        <v>60000</v>
      </c>
      <c r="F7" s="0" t="n">
        <f aca="false">C7*E7</f>
        <v>60000</v>
      </c>
    </row>
    <row r="8" customFormat="false" ht="15" hidden="false" customHeight="false" outlineLevel="0" collapsed="false">
      <c r="A8" s="0" t="n">
        <v>7</v>
      </c>
      <c r="B8" s="0" t="s">
        <v>17</v>
      </c>
      <c r="C8" s="0" t="n">
        <v>1</v>
      </c>
      <c r="D8" s="0" t="s">
        <v>16</v>
      </c>
      <c r="E8" s="0" t="n">
        <v>-150000</v>
      </c>
      <c r="F8" s="0" t="n">
        <f aca="false">C8*E8</f>
        <v>-150000</v>
      </c>
    </row>
    <row r="9" customFormat="false" ht="15" hidden="false" customHeight="false" outlineLevel="0" collapsed="false">
      <c r="B9" s="0" t="s">
        <v>18</v>
      </c>
      <c r="F9" s="0" t="n">
        <f aca="false">SUM(F2:F8)</f>
        <v>6454300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