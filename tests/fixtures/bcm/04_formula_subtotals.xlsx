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OQ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<sst xmlns="http://schemas.openxmlformats.org/spreadsheetml/2006/main" count="25" uniqueCount="24">
  <si>
    <t xml:space="preserve">Item</t>
  </si>
  <si>
    <t xml:space="preserve">Description</t>
  </si>
  <si>
    <t xml:space="preserve">Qty</t>
  </si>
  <si>
    <t xml:space="preserve">Unit</t>
  </si>
  <si>
    <t xml:space="preserve">Rate</t>
  </si>
  <si>
    <t xml:space="preserve">Amount</t>
  </si>
  <si>
    <t xml:space="preserve">1</t>
  </si>
  <si>
    <t xml:space="preserve">CIVIL WORKS</t>
  </si>
  <si>
    <t xml:space="preserve">1.1</t>
  </si>
  <si>
    <t xml:space="preserve">Excavation in normal soil</t>
  </si>
  <si>
    <t xml:space="preserve">m3</t>
  </si>
  <si>
    <t xml:space="preserve">1.2</t>
  </si>
  <si>
    <t xml:space="preserve">Backfilling and compaction</t>
  </si>
  <si>
    <t xml:space="preserve">Subtotal civil</t>
  </si>
  <si>
    <t xml:space="preserve">2</t>
  </si>
  <si>
    <t xml:space="preserve">ELECTRICAL WORKS</t>
  </si>
  <si>
    <t xml:space="preserve">2.1</t>
  </si>
  <si>
    <t xml:space="preserve">Power cable 300 sq mm 13.8kV</t>
  </si>
  <si>
    <t xml:space="preserve">m</t>
  </si>
  <si>
    <t xml:space="preserve">2.2</t>
  </si>
  <si>
    <t xml:space="preserve">LV switchgear panel</t>
  </si>
  <si>
    <t xml:space="preserve">No.</t>
  </si>
  <si>
    <t xml:space="preserve">Subtotal electrical</t>
  </si>
  <si>
    <t xml:space="preserve">Grand 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</si>
</sst>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n">
        <v>500</v>
      </c>
      <c r="D3" s="0" t="s">
        <v>10</v>
      </c>
      <c r="E3" s="0" t="n">
        <v>30</v>
      </c>
      <c r="F3" s="0" t="n">
        <f aca="false">C3*E3</f>
        <v>15000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n">
        <v>420</v>
      </c>
      <c r="D4" s="0" t="s">
        <v>10</v>
      </c>
      <c r="E4" s="0" t="n">
        <v>25</v>
      </c>
      <c r="F4" s="0" t="n">
        <f aca="false">C4*E4</f>
        <v>10500</v>
      </c>
    </row>
    <row r="5" customFormat="false" ht="15" hidden="false" customHeight="false" outlineLevel="0" collapsed="false">
      <c r="B5" s="0" t="s">
        <v>13</v>
      </c>
      <c r="F5" s="0" t="n">
        <f aca="false">SUM(F3:F4)</f>
        <v>25500</v>
      </c>
    </row>
    <row r="6" customFormat="false" ht="15" hidden="false" customHeight="false" outlineLevel="0" collapsed="false">
      <c r="A6" s="0" t="s">
        <v>14</v>
      </c>
      <c r="B6" s="0" t="s">
        <v>15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n">
        <v>1200</v>
      </c>
      <c r="D7" s="0" t="s">
        <v>18</v>
      </c>
      <c r="E7" s="0" t="n">
        <v>160</v>
      </c>
      <c r="F7" s="0" t="n">
        <f aca="false">C7*E7</f>
        <v>192000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n">
        <v>2</v>
      </c>
      <c r="D8" s="0" t="s">
        <v>21</v>
      </c>
      <c r="E8" s="0" t="n">
        <v>95000</v>
      </c>
      <c r="F8" s="0" t="n">
        <f aca="false">C8*E8</f>
        <v>190000</v>
      </c>
    </row>
    <row r="9" customFormat="false" ht="15" hidden="false" customHeight="false" outlineLevel="0" collapsed="false">
      <c r="B9" s="0" t="s">
        <v>22</v>
      </c>
      <c r="F9" s="0" t="n">
        <f aca="false">SUM(F7:F8)</f>
        <v>382000</v>
      </c>
    </row>
    <row r="10" customFormat="false" ht="15" hidden="false" customHeight="false" outlineLevel="0" collapsed="false">
      <c r="B10" s="0" t="s">
        <v>23</v>
      </c>
      <c r="F10" s="0" t="n">
        <f aca="false">F5+F9</f>
        <v>407500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2026-10-23T12:14:15Z</dcterms:created>
  <dc:creator>openpyxl</dc:creator>
  <dc:description/>
  <dc:language>en-US</dc:language>
  <cp:lastModifiedBy/>
  <dcterms:modified xsi:type="dcterms:W3CDTF">2026-10-23T12:14:15Z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